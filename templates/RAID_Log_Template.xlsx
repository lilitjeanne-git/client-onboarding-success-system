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ilitmacbook2/Downloads/"/>
    </mc:Choice>
  </mc:AlternateContent>
  <xr:revisionPtr revIDLastSave="0" documentId="13_ncr:1_{20AAA480-E088-FD42-92DF-6096B86B9519}" xr6:coauthVersionLast="47" xr6:coauthVersionMax="47" xr10:uidLastSave="{00000000-0000-0000-0000-000000000000}"/>
  <bookViews>
    <workbookView xWindow="0" yWindow="680" windowWidth="25440" windowHeight="17160" tabRatio="500" xr2:uid="{00000000-000D-0000-FFFF-FFFF00000000}"/>
  </bookViews>
  <sheets>
    <sheet name="RAID Log" sheetId="1" r:id="rId1"/>
    <sheet name="Dashboard" sheetId="2" r:id="rId2"/>
  </sheets>
  <definedNames>
    <definedName name="_xlnm._FilterDatabase" localSheetId="0" hidden="1">'RAID Log'!$A$9:$J$9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2" l="1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</calcChain>
</file>

<file path=xl/sharedStrings.xml><?xml version="1.0" encoding="utf-8"?>
<sst xmlns="http://schemas.openxmlformats.org/spreadsheetml/2006/main" count="204" uniqueCount="113">
  <si>
    <t>RAID LOG</t>
  </si>
  <si>
    <t>PM / Owner:  [Name]</t>
  </si>
  <si>
    <t>Last Updated:  [DD/MM/YYYY]</t>
  </si>
  <si>
    <t>Open Items:  =COUNTIF(H10:H500,"Open")+COUNTIF(H10:H500,"In Progress")+COUNTIF(H10:H500,"Escalated")</t>
  </si>
  <si>
    <t>Risks Open:  =COUNTIFS(B10:B500,"Risk",H10:H500,"Open")</t>
  </si>
  <si>
    <t>CATEGORY LEGEND</t>
  </si>
  <si>
    <t>■  Risk</t>
  </si>
  <si>
    <t>■  Assumption</t>
  </si>
  <si>
    <t>■  Issue</t>
  </si>
  <si>
    <t>■  Dependency</t>
  </si>
  <si>
    <t>■  Decision</t>
  </si>
  <si>
    <t>Impact:   🔴 High   🟡 Medium   🟢 Low</t>
  </si>
  <si>
    <t>📋  PLANNING PHASE  —  Pre Kick-Off</t>
  </si>
  <si>
    <t>ID</t>
  </si>
  <si>
    <t>Category</t>
  </si>
  <si>
    <t>Description</t>
  </si>
  <si>
    <t>Impact</t>
  </si>
  <si>
    <t>Probability /
Likelihood</t>
  </si>
  <si>
    <t>Owner</t>
  </si>
  <si>
    <t>Target Date</t>
  </si>
  <si>
    <t>Status</t>
  </si>
  <si>
    <t>Mitigation / Action</t>
  </si>
  <si>
    <t>Notes / History</t>
  </si>
  <si>
    <t>P-001</t>
  </si>
  <si>
    <t>Risk</t>
  </si>
  <si>
    <t>Client infrastructure not ready in time for SW deployment</t>
  </si>
  <si>
    <t>High</t>
  </si>
  <si>
    <t>Medium</t>
  </si>
  <si>
    <t>[PM]</t>
  </si>
  <si>
    <t>[DD/MM/YYYY]</t>
  </si>
  <si>
    <t>Open</t>
  </si>
  <si>
    <t>Agree infrastructure checklist at Kick-Off. Define a readiness sign-off gate before SW delivery.</t>
  </si>
  <si>
    <t>Flagged during pre-kick-off call. Follow up in WS #2.</t>
  </si>
  <si>
    <t>P-002</t>
  </si>
  <si>
    <t>Assumption</t>
  </si>
  <si>
    <t>Client team has dedicated availability for workshops and testing phases</t>
  </si>
  <si>
    <t>Confirm resource allocation and named individuals at Kick-Off meeting.</t>
  </si>
  <si>
    <t>Client confirmed SPOC but individual engineer availability TBC.</t>
  </si>
  <si>
    <t>P-003</t>
  </si>
  <si>
    <t>Key client contact changes during project (SPOC turnover)</t>
  </si>
  <si>
    <t>Low</t>
  </si>
  <si>
    <t>[CRO]</t>
  </si>
  <si>
    <t>Document all contacts in Stakeholder Register. Ensure knowledge transfer if change occurs.</t>
  </si>
  <si>
    <t>P-004</t>
  </si>
  <si>
    <t>Dependency</t>
  </si>
  <si>
    <t>Client must provide test environment access before Phase 1 testing can begin</t>
  </si>
  <si>
    <t>[Tech Dir.]</t>
  </si>
  <si>
    <t>Confirm environment specs and access credentials by T1. Block testing phases until resolved.</t>
  </si>
  <si>
    <t>Environment specs shared. Awaiting client confirmation.</t>
  </si>
  <si>
    <t>P-005</t>
  </si>
  <si>
    <t>Contract signed and initial invoice paid before project kick-off (T0)</t>
  </si>
  <si>
    <t>Closed</t>
  </si>
  <si>
    <t>Verified prior to scheduling Kick-Off Meeting.</t>
  </si>
  <si>
    <t>Confirmed signed 30/06/2025. Invoice paid.</t>
  </si>
  <si>
    <t>P-006</t>
  </si>
  <si>
    <t>Decision</t>
  </si>
  <si>
    <t>Project will be delivered in 5 consecutive phases as defined in the contract</t>
  </si>
  <si>
    <t>Agreed at contract stage. Phases may be adjusted by Steering Committee only.</t>
  </si>
  <si>
    <t>Validated at STC #1 (Kick-Off).</t>
  </si>
  <si>
    <t>P-007</t>
  </si>
  <si>
    <t>Quantum-safe algorithm not yet natively supported by client's existing PKI</t>
  </si>
  <si>
    <t>Assess PKI compatibility during WS #2. Plan hybrid certificate deployment if needed.</t>
  </si>
  <si>
    <t>🚀  EXECUTION PHASE  —  Post Kick-Off &amp; Ongoing</t>
  </si>
  <si>
    <t>E-001</t>
  </si>
  <si>
    <t>Issue</t>
  </si>
  <si>
    <t>SW delivery #1 delayed by 3 days due to packaging issue</t>
  </si>
  <si>
    <t>—</t>
  </si>
  <si>
    <t>In Progress</t>
  </si>
  <si>
    <t>Re-packaged Docker container. New delivery date confirmed. Client notified by email.</t>
  </si>
  <si>
    <t>Raised TCM #1. Resolved 05/09/2025.</t>
  </si>
  <si>
    <t>E-002</t>
  </si>
  <si>
    <t>Client testing team unfamiliar with Docker — risk of slow setup</t>
  </si>
  <si>
    <t>Schedule 1h onboarding call on Docker basics before Phase 1 testing starts.</t>
  </si>
  <si>
    <t>E-003</t>
  </si>
  <si>
    <t>Hybrid certificate deployment agreed for Phase 2 (classical + ML-DSA)</t>
  </si>
  <si>
    <t>Decision taken in TCM #1. Architecture diagram updated.</t>
  </si>
  <si>
    <t>Agreed 15/09/2025. Documented in TCM #1 minutes.</t>
  </si>
  <si>
    <t>E-004</t>
  </si>
  <si>
    <t>Phase 3 (gRPC) cannot start until Phase 2 test results validated by client</t>
  </si>
  <si>
    <t>Add Phase 2 sign-off as gate in project tracker. Confirm with client at TCM #2.</t>
  </si>
  <si>
    <t>E-005</t>
  </si>
  <si>
    <t>Port 443 not opened on client firewall — blocking REST API tests</t>
  </si>
  <si>
    <t>[Client SPOC]</t>
  </si>
  <si>
    <t>Escalated to client IT team. CNS provided firewall configuration instructions.</t>
  </si>
  <si>
    <t>Raised by Tech Director 22/09/2025.</t>
  </si>
  <si>
    <t>E-006</t>
  </si>
  <si>
    <t>Client will provide test data sets for signature validation by T2</t>
  </si>
  <si>
    <t>Confirm format and volume of test data at WS #2. Add to client action log.</t>
  </si>
  <si>
    <t>E-007</t>
  </si>
  <si>
    <t>Project closure delayed if client does not validate deliverables on time</t>
  </si>
  <si>
    <t>Define acceptance SLA in contract. Escalate to Steering Committee if &gt;2 weeks delay.</t>
  </si>
  <si>
    <t>E-008</t>
  </si>
  <si>
    <t>E-009</t>
  </si>
  <si>
    <t>E-010</t>
  </si>
  <si>
    <t>E-011</t>
  </si>
  <si>
    <t>E-012</t>
  </si>
  <si>
    <t>E-013</t>
  </si>
  <si>
    <t>E-014</t>
  </si>
  <si>
    <t>E-015</t>
  </si>
  <si>
    <t>RAID LOG — DASHBOARD SUMMARY</t>
  </si>
  <si>
    <t>Live summary — auto-calculated from RAID Log sheet</t>
  </si>
  <si>
    <t>Total</t>
  </si>
  <si>
    <t>Escalated</t>
  </si>
  <si>
    <t>High Impact</t>
  </si>
  <si>
    <t>TOTAL</t>
  </si>
  <si>
    <t>QUICK REFERENCE — WHAT EACH CATEGORY MEANS</t>
  </si>
  <si>
    <t>Something that COULD happen and negatively affect the project. Track probability + impact. Define mitigation.</t>
  </si>
  <si>
    <t>Something you are TREATING AS TRUE without confirmed evidence. Must be validated — if wrong, it becomes a Risk or Issue.</t>
  </si>
  <si>
    <t>Something that HAS ALREADY happened and is causing a problem RIGHT NOW. Needs immediate action.</t>
  </si>
  <si>
    <t>Something the project RELIES ON from another team, system, or party. If it's late, your work is blocked.</t>
  </si>
  <si>
    <t>A formal CHOICE made during the project. Log it so everyone knows what was decided, when, and by whom.</t>
  </si>
  <si>
    <t>Risks · Assumptions · Issues · Dependencies · Decisions  —   Client Onboarding</t>
  </si>
  <si>
    <t xml:space="preserve">Project:  [CLIENT NAME] —  [project name pilot]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</si>
</sst>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i/>
      <sz val="10"/>
      <color rgb="FF1F3864"/>
      <name val="Arial"/>
      <family val="2"/>
    </font>
    <font>
      <sz val="9"/>
      <color rgb="FF595959"/>
      <name val="Arial"/>
      <family val="2"/>
    </font>
    <font>
      <b/>
      <sz val="9"/>
      <color rgb="FFFFFFFF"/>
      <name val="Arial"/>
      <family val="2"/>
    </font>
    <font>
      <b/>
      <sz val="9"/>
      <color rgb="FFC00000"/>
      <name val="Arial"/>
      <family val="2"/>
    </font>
    <font>
      <b/>
      <sz val="9"/>
      <color rgb="FF7030A0"/>
      <name val="Arial"/>
      <family val="2"/>
    </font>
    <font>
      <b/>
      <sz val="9"/>
      <color rgb="FFED7D31"/>
      <name val="Arial"/>
      <family val="2"/>
    </font>
    <font>
      <b/>
      <sz val="9"/>
      <color rgb="FF2E75B6"/>
      <name val="Arial"/>
      <family val="2"/>
    </font>
    <font>
      <b/>
      <sz val="9"/>
      <color rgb="FF375623"/>
      <name val="Arial"/>
      <family val="2"/>
    </font>
    <font>
      <b/>
      <sz val="10"/>
      <color rgb="FFFFFFFF"/>
      <name val="Arial"/>
      <family val="2"/>
    </font>
    <font>
      <b/>
      <sz val="10"/>
      <color rgb="FF595959"/>
      <name val="Arial"/>
      <family val="2"/>
    </font>
    <font>
      <b/>
      <sz val="10"/>
      <color rgb="FFC00000"/>
      <name val="Arial"/>
      <family val="2"/>
    </font>
    <font>
      <sz val="10"/>
      <color rgb="FF1F3864"/>
      <name val="Arial"/>
      <family val="2"/>
    </font>
    <font>
      <sz val="10"/>
      <color rgb="FF7F6000"/>
      <name val="Arial"/>
      <family val="2"/>
    </font>
    <font>
      <b/>
      <sz val="10"/>
      <color rgb="FF7F6000"/>
      <name val="Arial"/>
      <family val="2"/>
    </font>
    <font>
      <b/>
      <sz val="10"/>
      <color rgb="FF7030A0"/>
      <name val="Arial"/>
      <family val="2"/>
    </font>
    <font>
      <sz val="10"/>
      <color rgb="FFC00000"/>
      <name val="Arial"/>
      <family val="2"/>
    </font>
    <font>
      <sz val="10"/>
      <color rgb="FF375623"/>
      <name val="Arial"/>
      <family val="2"/>
    </font>
    <font>
      <b/>
      <sz val="10"/>
      <color rgb="FF2E75B6"/>
      <name val="Arial"/>
      <family val="2"/>
    </font>
    <font>
      <b/>
      <sz val="10"/>
      <color rgb="FF375623"/>
      <name val="Arial"/>
      <family val="2"/>
    </font>
    <font>
      <b/>
      <sz val="10"/>
      <color rgb="FFED7D31"/>
      <name val="Arial"/>
      <family val="2"/>
    </font>
    <font>
      <sz val="10"/>
      <color rgb="FF595959"/>
      <name val="Arial"/>
      <family val="2"/>
    </font>
    <font>
      <b/>
      <sz val="10"/>
      <color rgb="FFBFBFBF"/>
      <name val="Arial"/>
      <family val="2"/>
    </font>
    <font>
      <sz val="10"/>
      <color rgb="FFBFBFBF"/>
      <name val="Arial"/>
      <family val="2"/>
    </font>
    <font>
      <b/>
      <sz val="16"/>
      <color rgb="FFFFFFFF"/>
      <name val="Arial"/>
      <family val="2"/>
    </font>
    <font>
      <b/>
      <sz val="11"/>
      <color rgb="FFC00000"/>
      <name val="Arial"/>
      <family val="2"/>
    </font>
    <font>
      <sz val="11"/>
      <color rgb="FF000000"/>
      <name val="Arial"/>
      <family val="2"/>
    </font>
    <font>
      <b/>
      <sz val="11"/>
      <color rgb="FF7030A0"/>
      <name val="Arial"/>
      <family val="2"/>
    </font>
    <font>
      <b/>
      <sz val="11"/>
      <color rgb="FFED7D31"/>
      <name val="Arial"/>
      <family val="2"/>
    </font>
    <font>
      <b/>
      <sz val="11"/>
      <color rgb="FF2E75B6"/>
      <name val="Arial"/>
      <family val="2"/>
    </font>
    <font>
      <b/>
      <sz val="11"/>
      <color rgb="FF375623"/>
      <name val="Arial"/>
      <family val="2"/>
    </font>
    <font>
      <b/>
      <sz val="11"/>
      <color rgb="FF1F3864"/>
      <name val="Arial"/>
      <family val="2"/>
    </font>
    <font>
      <b/>
      <sz val="11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F7FAFD"/>
      </patternFill>
    </fill>
    <fill>
      <patternFill patternType="solid">
        <fgColor rgb="FFFCE4D6"/>
        <bgColor rgb="FFFCE9D8"/>
      </patternFill>
    </fill>
    <fill>
      <patternFill patternType="solid">
        <fgColor rgb="FFEAD1F5"/>
        <bgColor rgb="FFD6E4F0"/>
      </patternFill>
    </fill>
    <fill>
      <patternFill patternType="solid">
        <fgColor rgb="FFFCE9D8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008C93"/>
        <bgColor rgb="FF008080"/>
      </patternFill>
    </fill>
    <fill>
      <patternFill patternType="solid">
        <fgColor rgb="FFF7FAFD"/>
        <bgColor rgb="FFFFFFFF"/>
      </patternFill>
    </fill>
    <fill>
      <patternFill patternType="solid">
        <fgColor rgb="FFFFF2CC"/>
        <bgColor rgb="FFFCE9D8"/>
      </patternFill>
    </fill>
    <fill>
      <patternFill patternType="solid">
        <fgColor rgb="FFFFFFFF"/>
        <bgColor rgb="FFF7FAFD"/>
      </patternFill>
    </fill>
    <fill>
      <patternFill patternType="solid">
        <fgColor rgb="FF2E75B6"/>
        <bgColor rgb="FF0066CC"/>
      </patternFill>
    </fill>
    <fill>
      <patternFill patternType="solid">
        <fgColor rgb="FFFFB703"/>
        <bgColor rgb="FFFF9900"/>
      </patternFill>
    </fill>
    <fill>
      <patternFill patternType="solid">
        <fgColor rgb="FF375623"/>
        <bgColor rgb="FF595959"/>
      </patternFill>
    </fill>
    <fill>
      <patternFill patternType="solid">
        <fgColor rgb="FFC00000"/>
        <bgColor rgb="FF800000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3" fillId="12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/>
    </xf>
    <xf numFmtId="0" fontId="25" fillId="2" borderId="1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left" vertical="center"/>
    </xf>
    <xf numFmtId="0" fontId="13" fillId="12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left" vertical="center"/>
    </xf>
    <xf numFmtId="0" fontId="13" fillId="12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left" vertical="center"/>
    </xf>
    <xf numFmtId="0" fontId="20" fillId="8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left" vertical="center"/>
    </xf>
    <xf numFmtId="0" fontId="22" fillId="12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23" fillId="10" borderId="2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left" vertical="center"/>
    </xf>
    <xf numFmtId="0" fontId="23" fillId="12" borderId="2" xfId="0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left" vertical="center"/>
    </xf>
    <xf numFmtId="0" fontId="27" fillId="4" borderId="2" xfId="0" applyFont="1" applyFill="1" applyBorder="1" applyAlignment="1">
      <alignment horizontal="center" vertical="center"/>
    </xf>
    <xf numFmtId="0" fontId="27" fillId="12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left" vertical="center"/>
    </xf>
    <xf numFmtId="0" fontId="29" fillId="7" borderId="2" xfId="0" applyFont="1" applyFill="1" applyBorder="1" applyAlignment="1">
      <alignment horizontal="left" vertical="center"/>
    </xf>
    <xf numFmtId="0" fontId="30" fillId="3" borderId="2" xfId="0" applyFont="1" applyFill="1" applyBorder="1" applyAlignment="1">
      <alignment horizontal="left" vertical="center"/>
    </xf>
    <xf numFmtId="0" fontId="31" fillId="8" borderId="2" xfId="0" applyFont="1" applyFill="1" applyBorder="1" applyAlignment="1">
      <alignment horizontal="left" vertical="center"/>
    </xf>
    <xf numFmtId="0" fontId="32" fillId="3" borderId="2" xfId="0" applyFont="1" applyFill="1" applyBorder="1" applyAlignment="1">
      <alignment horizontal="left" vertical="center"/>
    </xf>
    <xf numFmtId="0" fontId="3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C93"/>
      <rgbColor rgb="FFBFBFBF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EAD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9D8"/>
      <rgbColor rgb="FFF7FAFD"/>
      <rgbColor rgb="FFFF99CC"/>
      <rgbColor rgb="FFCC99FF"/>
      <rgbColor rgb="FFFCE4D6"/>
      <rgbColor rgb="FF2E75B6"/>
      <rgbColor rgb="FF33CCCC"/>
      <rgbColor rgb="FF99CC00"/>
      <rgbColor rgb="FFFFB703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J34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31" sqref="E31"/>
    </sheetView>
  </sheetViews>
  <sheetFormatPr baseColWidth="10" defaultColWidth="8.6640625" defaultRowHeight="15" x14ac:dyDescent="0.2"/>
  <cols>
    <col min="1" max="1" width="6" customWidth="1"/>
    <col min="2" max="2" width="34.5" customWidth="1"/>
    <col min="3" max="3" width="36" customWidth="1"/>
    <col min="4" max="4" width="13" customWidth="1"/>
    <col min="5" max="5" width="16" customWidth="1"/>
    <col min="6" max="6" width="18" customWidth="1"/>
    <col min="7" max="7" width="13" customWidth="1"/>
    <col min="8" max="8" width="14" customWidth="1"/>
    <col min="9" max="9" width="34" customWidth="1"/>
    <col min="10" max="10" width="28" customWidth="1"/>
  </cols>
  <sheetData>
    <row r="1" spans="1:10" ht="6" customHeight="1" x14ac:dyDescent="0.2"/>
    <row r="2" spans="1:10" ht="33.75" customHeight="1" x14ac:dyDescent="0.2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5.75" customHeight="1" x14ac:dyDescent="0.2">
      <c r="A3" s="10" t="s">
        <v>111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15.75" customHeight="1" x14ac:dyDescent="0.2">
      <c r="A4" s="9" t="s">
        <v>112</v>
      </c>
      <c r="B4" s="9"/>
      <c r="C4" s="9" t="s">
        <v>1</v>
      </c>
      <c r="D4" s="9"/>
      <c r="E4" s="9" t="s">
        <v>2</v>
      </c>
      <c r="F4" s="9"/>
      <c r="G4" s="9" t="s">
        <v>3</v>
      </c>
      <c r="H4" s="9"/>
      <c r="I4" s="9" t="s">
        <v>4</v>
      </c>
      <c r="J4" s="9"/>
    </row>
    <row r="5" spans="1:10" ht="6" customHeight="1" x14ac:dyDescent="0.2"/>
    <row r="6" spans="1:10" ht="18" customHeight="1" x14ac:dyDescent="0.2">
      <c r="A6" s="8" t="s">
        <v>5</v>
      </c>
      <c r="B6" s="8"/>
      <c r="C6" s="12" t="s">
        <v>6</v>
      </c>
      <c r="D6" s="13" t="s">
        <v>7</v>
      </c>
      <c r="E6" s="14" t="s">
        <v>8</v>
      </c>
      <c r="F6" s="15" t="s">
        <v>9</v>
      </c>
      <c r="G6" s="16" t="s">
        <v>10</v>
      </c>
      <c r="H6" s="7" t="s">
        <v>11</v>
      </c>
      <c r="I6" s="7"/>
      <c r="J6" s="7"/>
    </row>
    <row r="7" spans="1:10" ht="6" customHeight="1" x14ac:dyDescent="0.2"/>
    <row r="8" spans="1:10" ht="15.75" customHeight="1" x14ac:dyDescent="0.2">
      <c r="A8" s="6" t="s">
        <v>12</v>
      </c>
      <c r="B8" s="6"/>
      <c r="C8" s="6"/>
      <c r="D8" s="6"/>
      <c r="E8" s="6"/>
      <c r="F8" s="6"/>
      <c r="G8" s="6"/>
      <c r="H8" s="6"/>
      <c r="I8" s="6"/>
      <c r="J8" s="6"/>
    </row>
    <row r="9" spans="1:10" ht="21.75" customHeight="1" x14ac:dyDescent="0.2">
      <c r="A9" s="17" t="s">
        <v>13</v>
      </c>
      <c r="B9" s="17" t="s">
        <v>14</v>
      </c>
      <c r="C9" s="17" t="s">
        <v>15</v>
      </c>
      <c r="D9" s="17" t="s">
        <v>16</v>
      </c>
      <c r="E9" s="17" t="s">
        <v>17</v>
      </c>
      <c r="F9" s="17" t="s">
        <v>18</v>
      </c>
      <c r="G9" s="17" t="s">
        <v>19</v>
      </c>
      <c r="H9" s="17" t="s">
        <v>20</v>
      </c>
      <c r="I9" s="17" t="s">
        <v>21</v>
      </c>
      <c r="J9" s="17" t="s">
        <v>22</v>
      </c>
    </row>
    <row r="10" spans="1:10" ht="42" x14ac:dyDescent="0.2">
      <c r="A10" s="18" t="s">
        <v>23</v>
      </c>
      <c r="B10" s="19" t="s">
        <v>24</v>
      </c>
      <c r="C10" s="20" t="s">
        <v>25</v>
      </c>
      <c r="D10" s="21" t="s">
        <v>26</v>
      </c>
      <c r="E10" s="22" t="s">
        <v>27</v>
      </c>
      <c r="F10" s="23" t="s">
        <v>28</v>
      </c>
      <c r="G10" s="24" t="s">
        <v>29</v>
      </c>
      <c r="H10" s="25" t="s">
        <v>30</v>
      </c>
      <c r="I10" s="20" t="s">
        <v>31</v>
      </c>
      <c r="J10" s="20" t="s">
        <v>32</v>
      </c>
    </row>
    <row r="11" spans="1:10" ht="42" x14ac:dyDescent="0.2">
      <c r="A11" s="26" t="s">
        <v>33</v>
      </c>
      <c r="B11" s="27" t="s">
        <v>34</v>
      </c>
      <c r="C11" s="28" t="s">
        <v>35</v>
      </c>
      <c r="D11" s="21" t="s">
        <v>26</v>
      </c>
      <c r="E11" s="29" t="s">
        <v>26</v>
      </c>
      <c r="F11" s="30" t="s">
        <v>28</v>
      </c>
      <c r="G11" s="31" t="s">
        <v>29</v>
      </c>
      <c r="H11" s="25" t="s">
        <v>30</v>
      </c>
      <c r="I11" s="28" t="s">
        <v>36</v>
      </c>
      <c r="J11" s="28" t="s">
        <v>37</v>
      </c>
    </row>
    <row r="12" spans="1:10" ht="42" x14ac:dyDescent="0.2">
      <c r="A12" s="18" t="s">
        <v>38</v>
      </c>
      <c r="B12" s="19" t="s">
        <v>24</v>
      </c>
      <c r="C12" s="20" t="s">
        <v>39</v>
      </c>
      <c r="D12" s="25" t="s">
        <v>27</v>
      </c>
      <c r="E12" s="32" t="s">
        <v>40</v>
      </c>
      <c r="F12" s="23" t="s">
        <v>41</v>
      </c>
      <c r="G12" s="24" t="s">
        <v>29</v>
      </c>
      <c r="H12" s="25" t="s">
        <v>30</v>
      </c>
      <c r="I12" s="20" t="s">
        <v>42</v>
      </c>
      <c r="J12" s="20"/>
    </row>
    <row r="13" spans="1:10" ht="42" x14ac:dyDescent="0.2">
      <c r="A13" s="26" t="s">
        <v>43</v>
      </c>
      <c r="B13" s="33" t="s">
        <v>44</v>
      </c>
      <c r="C13" s="28" t="s">
        <v>45</v>
      </c>
      <c r="D13" s="21" t="s">
        <v>26</v>
      </c>
      <c r="E13" s="29" t="s">
        <v>26</v>
      </c>
      <c r="F13" s="30" t="s">
        <v>46</v>
      </c>
      <c r="G13" s="31" t="s">
        <v>29</v>
      </c>
      <c r="H13" s="25" t="s">
        <v>30</v>
      </c>
      <c r="I13" s="28" t="s">
        <v>47</v>
      </c>
      <c r="J13" s="28" t="s">
        <v>48</v>
      </c>
    </row>
    <row r="14" spans="1:10" ht="28" x14ac:dyDescent="0.2">
      <c r="A14" s="18" t="s">
        <v>49</v>
      </c>
      <c r="B14" s="27" t="s">
        <v>34</v>
      </c>
      <c r="C14" s="20" t="s">
        <v>50</v>
      </c>
      <c r="D14" s="21" t="s">
        <v>26</v>
      </c>
      <c r="E14" s="29" t="s">
        <v>26</v>
      </c>
      <c r="F14" s="23" t="s">
        <v>41</v>
      </c>
      <c r="G14" s="24" t="s">
        <v>29</v>
      </c>
      <c r="H14" s="34" t="s">
        <v>51</v>
      </c>
      <c r="I14" s="20" t="s">
        <v>52</v>
      </c>
      <c r="J14" s="20" t="s">
        <v>53</v>
      </c>
    </row>
    <row r="15" spans="1:10" ht="28" x14ac:dyDescent="0.2">
      <c r="A15" s="26" t="s">
        <v>54</v>
      </c>
      <c r="B15" s="35" t="s">
        <v>55</v>
      </c>
      <c r="C15" s="28" t="s">
        <v>56</v>
      </c>
      <c r="D15" s="21" t="s">
        <v>26</v>
      </c>
      <c r="E15" s="29" t="s">
        <v>26</v>
      </c>
      <c r="F15" s="30" t="s">
        <v>28</v>
      </c>
      <c r="G15" s="31" t="s">
        <v>29</v>
      </c>
      <c r="H15" s="34" t="s">
        <v>51</v>
      </c>
      <c r="I15" s="28" t="s">
        <v>57</v>
      </c>
      <c r="J15" s="28" t="s">
        <v>58</v>
      </c>
    </row>
    <row r="16" spans="1:10" ht="42" x14ac:dyDescent="0.2">
      <c r="A16" s="18" t="s">
        <v>59</v>
      </c>
      <c r="B16" s="19" t="s">
        <v>24</v>
      </c>
      <c r="C16" s="20" t="s">
        <v>60</v>
      </c>
      <c r="D16" s="25" t="s">
        <v>27</v>
      </c>
      <c r="E16" s="29" t="s">
        <v>26</v>
      </c>
      <c r="F16" s="23" t="s">
        <v>46</v>
      </c>
      <c r="G16" s="24" t="s">
        <v>29</v>
      </c>
      <c r="H16" s="25" t="s">
        <v>30</v>
      </c>
      <c r="I16" s="20" t="s">
        <v>61</v>
      </c>
      <c r="J16" s="20"/>
    </row>
    <row r="18" spans="1:10" ht="15.75" customHeight="1" x14ac:dyDescent="0.2">
      <c r="A18" s="5" t="s">
        <v>62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ht="29" customHeight="1" x14ac:dyDescent="0.2">
      <c r="A19" s="17" t="s">
        <v>13</v>
      </c>
      <c r="B19" s="17" t="s">
        <v>14</v>
      </c>
      <c r="C19" s="17" t="s">
        <v>15</v>
      </c>
      <c r="D19" s="17" t="s">
        <v>16</v>
      </c>
      <c r="E19" s="17" t="s">
        <v>17</v>
      </c>
      <c r="F19" s="17" t="s">
        <v>18</v>
      </c>
      <c r="G19" s="17" t="s">
        <v>19</v>
      </c>
      <c r="H19" s="17" t="s">
        <v>20</v>
      </c>
      <c r="I19" s="17" t="s">
        <v>21</v>
      </c>
      <c r="J19" s="17" t="s">
        <v>22</v>
      </c>
    </row>
    <row r="20" spans="1:10" ht="42" x14ac:dyDescent="0.2">
      <c r="A20" s="18" t="s">
        <v>63</v>
      </c>
      <c r="B20" s="36" t="s">
        <v>64</v>
      </c>
      <c r="C20" s="20" t="s">
        <v>65</v>
      </c>
      <c r="D20" s="25" t="s">
        <v>27</v>
      </c>
      <c r="E20" s="37" t="s">
        <v>66</v>
      </c>
      <c r="F20" s="23" t="s">
        <v>46</v>
      </c>
      <c r="G20" s="24" t="s">
        <v>29</v>
      </c>
      <c r="H20" s="38" t="s">
        <v>67</v>
      </c>
      <c r="I20" s="20" t="s">
        <v>68</v>
      </c>
      <c r="J20" s="20" t="s">
        <v>69</v>
      </c>
    </row>
    <row r="21" spans="1:10" ht="28" x14ac:dyDescent="0.2">
      <c r="A21" s="26" t="s">
        <v>70</v>
      </c>
      <c r="B21" s="19" t="s">
        <v>24</v>
      </c>
      <c r="C21" s="28" t="s">
        <v>71</v>
      </c>
      <c r="D21" s="25" t="s">
        <v>27</v>
      </c>
      <c r="E21" s="29" t="s">
        <v>26</v>
      </c>
      <c r="F21" s="30" t="s">
        <v>28</v>
      </c>
      <c r="G21" s="31" t="s">
        <v>29</v>
      </c>
      <c r="H21" s="25" t="s">
        <v>30</v>
      </c>
      <c r="I21" s="28" t="s">
        <v>72</v>
      </c>
      <c r="J21" s="28"/>
    </row>
    <row r="22" spans="1:10" ht="28" x14ac:dyDescent="0.2">
      <c r="A22" s="18" t="s">
        <v>73</v>
      </c>
      <c r="B22" s="35" t="s">
        <v>55</v>
      </c>
      <c r="C22" s="20" t="s">
        <v>74</v>
      </c>
      <c r="D22" s="21" t="s">
        <v>26</v>
      </c>
      <c r="E22" s="37" t="s">
        <v>66</v>
      </c>
      <c r="F22" s="23" t="s">
        <v>46</v>
      </c>
      <c r="G22" s="24" t="s">
        <v>29</v>
      </c>
      <c r="H22" s="34" t="s">
        <v>51</v>
      </c>
      <c r="I22" s="20" t="s">
        <v>75</v>
      </c>
      <c r="J22" s="20" t="s">
        <v>76</v>
      </c>
    </row>
    <row r="23" spans="1:10" ht="28" x14ac:dyDescent="0.2">
      <c r="A23" s="26" t="s">
        <v>77</v>
      </c>
      <c r="B23" s="33" t="s">
        <v>44</v>
      </c>
      <c r="C23" s="28" t="s">
        <v>78</v>
      </c>
      <c r="D23" s="21" t="s">
        <v>26</v>
      </c>
      <c r="E23" s="22" t="s">
        <v>27</v>
      </c>
      <c r="F23" s="30" t="s">
        <v>28</v>
      </c>
      <c r="G23" s="31" t="s">
        <v>29</v>
      </c>
      <c r="H23" s="25" t="s">
        <v>30</v>
      </c>
      <c r="I23" s="28" t="s">
        <v>79</v>
      </c>
      <c r="J23" s="28"/>
    </row>
    <row r="24" spans="1:10" ht="28" x14ac:dyDescent="0.2">
      <c r="A24" s="18" t="s">
        <v>80</v>
      </c>
      <c r="B24" s="36" t="s">
        <v>64</v>
      </c>
      <c r="C24" s="20" t="s">
        <v>81</v>
      </c>
      <c r="D24" s="21" t="s">
        <v>26</v>
      </c>
      <c r="E24" s="37" t="s">
        <v>66</v>
      </c>
      <c r="F24" s="23" t="s">
        <v>82</v>
      </c>
      <c r="G24" s="24" t="s">
        <v>29</v>
      </c>
      <c r="H24" s="25" t="s">
        <v>30</v>
      </c>
      <c r="I24" s="20" t="s">
        <v>83</v>
      </c>
      <c r="J24" s="20" t="s">
        <v>84</v>
      </c>
    </row>
    <row r="25" spans="1:10" ht="28" x14ac:dyDescent="0.2">
      <c r="A25" s="26" t="s">
        <v>85</v>
      </c>
      <c r="B25" s="27" t="s">
        <v>34</v>
      </c>
      <c r="C25" s="28" t="s">
        <v>86</v>
      </c>
      <c r="D25" s="25" t="s">
        <v>27</v>
      </c>
      <c r="E25" s="22" t="s">
        <v>27</v>
      </c>
      <c r="F25" s="30" t="s">
        <v>28</v>
      </c>
      <c r="G25" s="31" t="s">
        <v>29</v>
      </c>
      <c r="H25" s="25" t="s">
        <v>30</v>
      </c>
      <c r="I25" s="28" t="s">
        <v>87</v>
      </c>
      <c r="J25" s="28"/>
    </row>
    <row r="26" spans="1:10" ht="42" x14ac:dyDescent="0.2">
      <c r="A26" s="18" t="s">
        <v>88</v>
      </c>
      <c r="B26" s="19" t="s">
        <v>24</v>
      </c>
      <c r="C26" s="20" t="s">
        <v>89</v>
      </c>
      <c r="D26" s="21" t="s">
        <v>26</v>
      </c>
      <c r="E26" s="22" t="s">
        <v>27</v>
      </c>
      <c r="F26" s="23" t="s">
        <v>41</v>
      </c>
      <c r="G26" s="24" t="s">
        <v>29</v>
      </c>
      <c r="H26" s="25" t="s">
        <v>30</v>
      </c>
      <c r="I26" s="20" t="s">
        <v>90</v>
      </c>
      <c r="J26" s="20"/>
    </row>
    <row r="27" spans="1:10" ht="19.5" customHeight="1" x14ac:dyDescent="0.2">
      <c r="A27" s="39" t="s">
        <v>91</v>
      </c>
      <c r="B27" s="40"/>
      <c r="C27" s="40"/>
      <c r="D27" s="40"/>
      <c r="E27" s="40"/>
      <c r="F27" s="40"/>
      <c r="G27" s="40"/>
      <c r="H27" s="40"/>
      <c r="I27" s="40"/>
      <c r="J27" s="40"/>
    </row>
    <row r="28" spans="1:10" ht="19.5" customHeight="1" x14ac:dyDescent="0.2">
      <c r="A28" s="41" t="s">
        <v>92</v>
      </c>
      <c r="B28" s="42"/>
      <c r="C28" s="42"/>
      <c r="D28" s="42"/>
      <c r="E28" s="42"/>
      <c r="F28" s="42"/>
      <c r="G28" s="42"/>
      <c r="H28" s="42"/>
      <c r="I28" s="42"/>
      <c r="J28" s="42"/>
    </row>
    <row r="29" spans="1:10" ht="19.5" customHeight="1" x14ac:dyDescent="0.2">
      <c r="A29" s="39" t="s">
        <v>93</v>
      </c>
      <c r="B29" s="40"/>
      <c r="C29" s="40"/>
      <c r="D29" s="40"/>
      <c r="E29" s="40"/>
      <c r="F29" s="40"/>
      <c r="G29" s="40"/>
      <c r="H29" s="40"/>
      <c r="I29" s="40"/>
      <c r="J29" s="40"/>
    </row>
    <row r="30" spans="1:10" ht="19.5" customHeight="1" x14ac:dyDescent="0.2">
      <c r="A30" s="41" t="s">
        <v>94</v>
      </c>
      <c r="B30" s="42"/>
      <c r="C30" s="42"/>
      <c r="D30" s="42"/>
      <c r="E30" s="42"/>
      <c r="F30" s="42"/>
      <c r="G30" s="42"/>
      <c r="H30" s="42"/>
      <c r="I30" s="42"/>
      <c r="J30" s="42"/>
    </row>
    <row r="31" spans="1:10" ht="19.5" customHeight="1" x14ac:dyDescent="0.2">
      <c r="A31" s="39" t="s">
        <v>95</v>
      </c>
      <c r="B31" s="40"/>
      <c r="C31" s="40"/>
      <c r="D31" s="40"/>
      <c r="E31" s="40"/>
      <c r="F31" s="40"/>
      <c r="G31" s="40"/>
      <c r="H31" s="40"/>
      <c r="I31" s="40"/>
      <c r="J31" s="40"/>
    </row>
    <row r="32" spans="1:10" ht="19.5" customHeight="1" x14ac:dyDescent="0.2">
      <c r="A32" s="41" t="s">
        <v>96</v>
      </c>
      <c r="B32" s="42"/>
      <c r="C32" s="42"/>
      <c r="D32" s="42"/>
      <c r="E32" s="42"/>
      <c r="F32" s="42"/>
      <c r="G32" s="42"/>
      <c r="H32" s="42"/>
      <c r="I32" s="42"/>
      <c r="J32" s="42"/>
    </row>
    <row r="33" spans="1:10" ht="19.5" customHeight="1" x14ac:dyDescent="0.2">
      <c r="A33" s="39" t="s">
        <v>97</v>
      </c>
      <c r="B33" s="40"/>
      <c r="C33" s="40"/>
      <c r="D33" s="40"/>
      <c r="E33" s="40"/>
      <c r="F33" s="40"/>
      <c r="G33" s="40"/>
      <c r="H33" s="40"/>
      <c r="I33" s="40"/>
      <c r="J33" s="40"/>
    </row>
    <row r="34" spans="1:10" ht="19.5" customHeight="1" x14ac:dyDescent="0.2">
      <c r="A34" s="41" t="s">
        <v>98</v>
      </c>
      <c r="B34" s="42"/>
      <c r="C34" s="42"/>
      <c r="D34" s="42"/>
      <c r="E34" s="42"/>
      <c r="F34" s="42"/>
      <c r="G34" s="42"/>
      <c r="H34" s="42"/>
      <c r="I34" s="42"/>
      <c r="J34" s="42"/>
    </row>
  </sheetData>
  <autoFilter ref="A9:J9" xr:uid="{00000000-0009-0000-0000-000000000000}"/>
  <mergeCells count="11">
    <mergeCell ref="A6:B6"/>
    <mergeCell ref="H6:J6"/>
    <mergeCell ref="A8:J8"/>
    <mergeCell ref="A18:J18"/>
    <mergeCell ref="A2:J2"/>
    <mergeCell ref="A3:J3"/>
    <mergeCell ref="A4:B4"/>
    <mergeCell ref="C4:D4"/>
    <mergeCell ref="E4:F4"/>
    <mergeCell ref="G4:H4"/>
    <mergeCell ref="I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G19"/>
  <sheetViews>
    <sheetView zoomScaleNormal="100" workbookViewId="0"/>
  </sheetViews>
  <sheetFormatPr baseColWidth="10" defaultColWidth="8.6640625" defaultRowHeight="15" x14ac:dyDescent="0.2"/>
  <cols>
    <col min="1" max="1" width="20" customWidth="1"/>
    <col min="2" max="7" width="14" customWidth="1"/>
  </cols>
  <sheetData>
    <row r="1" spans="1:7" ht="6" customHeight="1" x14ac:dyDescent="0.2"/>
    <row r="2" spans="1:7" ht="30" customHeight="1" x14ac:dyDescent="0.2">
      <c r="A2" s="4" t="s">
        <v>99</v>
      </c>
      <c r="B2" s="4"/>
      <c r="C2" s="4"/>
      <c r="D2" s="4"/>
      <c r="E2" s="4"/>
      <c r="F2" s="4"/>
      <c r="G2" s="4"/>
    </row>
    <row r="3" spans="1:7" ht="15.75" customHeight="1" x14ac:dyDescent="0.2">
      <c r="A3" s="10" t="s">
        <v>100</v>
      </c>
      <c r="B3" s="10"/>
      <c r="C3" s="10"/>
      <c r="D3" s="10"/>
      <c r="E3" s="10"/>
      <c r="F3" s="10"/>
      <c r="G3" s="10"/>
    </row>
    <row r="4" spans="1:7" ht="7.5" customHeight="1" x14ac:dyDescent="0.2"/>
    <row r="5" spans="1:7" ht="18" customHeight="1" x14ac:dyDescent="0.2">
      <c r="A5" s="43" t="s">
        <v>14</v>
      </c>
      <c r="B5" s="43" t="s">
        <v>101</v>
      </c>
      <c r="C5" s="44" t="s">
        <v>30</v>
      </c>
      <c r="D5" s="45" t="s">
        <v>67</v>
      </c>
      <c r="E5" s="46" t="s">
        <v>51</v>
      </c>
      <c r="F5" s="47" t="s">
        <v>102</v>
      </c>
      <c r="G5" s="47" t="s">
        <v>103</v>
      </c>
    </row>
    <row r="6" spans="1:7" ht="18" customHeight="1" x14ac:dyDescent="0.2">
      <c r="A6" s="48" t="s">
        <v>24</v>
      </c>
      <c r="B6" s="49">
        <f>IFERROR(COUNTIF('RAID Log'!B10:B500,"Risk"),0)</f>
        <v>5</v>
      </c>
      <c r="C6" s="50">
        <f>IFERROR(COUNTIFS('RAID Log'!B10:B500,"Risk",'RAID Log'!H10:H500,"Open"),0)</f>
        <v>5</v>
      </c>
      <c r="D6" s="49">
        <f>IFERROR(COUNTIFS('RAID Log'!B10:B500,"Risk",'RAID Log'!H10:H500,"In Progress"),0)</f>
        <v>0</v>
      </c>
      <c r="E6" s="50">
        <f>IFERROR(COUNTIFS('RAID Log'!B10:B500,"Risk",'RAID Log'!H10:H500,"Closed"),0)</f>
        <v>0</v>
      </c>
      <c r="F6" s="49">
        <f>IFERROR(COUNTIFS('RAID Log'!B10:B500,"Risk",'RAID Log'!H10:H500,"Escalated"),0)</f>
        <v>0</v>
      </c>
      <c r="G6" s="50">
        <f>IFERROR(COUNTIFS('RAID Log'!B10:B500,"Risk",'RAID Log'!D10:D500,"High",'RAID Log'!H10:H500,"&lt;&gt;Closed"),0)</f>
        <v>2</v>
      </c>
    </row>
    <row r="7" spans="1:7" ht="18" customHeight="1" x14ac:dyDescent="0.2">
      <c r="A7" s="51" t="s">
        <v>34</v>
      </c>
      <c r="B7" s="49">
        <f>IFERROR(COUNTIF('RAID Log'!B10:B500,"Assumption"),0)</f>
        <v>3</v>
      </c>
      <c r="C7" s="50">
        <f>IFERROR(COUNTIFS('RAID Log'!B10:B500,"Assumption",'RAID Log'!H10:H500,"Open"),0)</f>
        <v>2</v>
      </c>
      <c r="D7" s="49">
        <f>IFERROR(COUNTIFS('RAID Log'!B10:B500,"Assumption",'RAID Log'!H10:H500,"In Progress"),0)</f>
        <v>0</v>
      </c>
      <c r="E7" s="50">
        <f>IFERROR(COUNTIFS('RAID Log'!B10:B500,"Assumption",'RAID Log'!H10:H500,"Closed"),0)</f>
        <v>1</v>
      </c>
      <c r="F7" s="49">
        <f>IFERROR(COUNTIFS('RAID Log'!B10:B500,"Assumption",'RAID Log'!H10:H500,"Escalated"),0)</f>
        <v>0</v>
      </c>
      <c r="G7" s="50">
        <f>IFERROR(COUNTIFS('RAID Log'!B10:B500,"Assumption",'RAID Log'!D10:D500,"High",'RAID Log'!H10:H500,"&lt;&gt;Closed"),0)</f>
        <v>1</v>
      </c>
    </row>
    <row r="8" spans="1:7" ht="18" customHeight="1" x14ac:dyDescent="0.2">
      <c r="A8" s="52" t="s">
        <v>64</v>
      </c>
      <c r="B8" s="49">
        <f>IFERROR(COUNTIF('RAID Log'!B10:B500,"Issue"),0)</f>
        <v>2</v>
      </c>
      <c r="C8" s="50">
        <f>IFERROR(COUNTIFS('RAID Log'!B10:B500,"Issue",'RAID Log'!H10:H500,"Open"),0)</f>
        <v>1</v>
      </c>
      <c r="D8" s="49">
        <f>IFERROR(COUNTIFS('RAID Log'!B10:B500,"Issue",'RAID Log'!H10:H500,"In Progress"),0)</f>
        <v>1</v>
      </c>
      <c r="E8" s="50">
        <f>IFERROR(COUNTIFS('RAID Log'!B10:B500,"Issue",'RAID Log'!H10:H500,"Closed"),0)</f>
        <v>0</v>
      </c>
      <c r="F8" s="49">
        <f>IFERROR(COUNTIFS('RAID Log'!B10:B500,"Issue",'RAID Log'!H10:H500,"Escalated"),0)</f>
        <v>0</v>
      </c>
      <c r="G8" s="50">
        <f>IFERROR(COUNTIFS('RAID Log'!B10:B500,"Issue",'RAID Log'!D10:D500,"High",'RAID Log'!H10:H500,"&lt;&gt;Closed"),0)</f>
        <v>1</v>
      </c>
    </row>
    <row r="9" spans="1:7" ht="18" customHeight="1" x14ac:dyDescent="0.2">
      <c r="A9" s="53" t="s">
        <v>44</v>
      </c>
      <c r="B9" s="49">
        <f>IFERROR(COUNTIF('RAID Log'!B10:B500,"Dependency"),0)</f>
        <v>2</v>
      </c>
      <c r="C9" s="50">
        <f>IFERROR(COUNTIFS('RAID Log'!B10:B500,"Dependency",'RAID Log'!H10:H500,"Open"),0)</f>
        <v>2</v>
      </c>
      <c r="D9" s="49">
        <f>IFERROR(COUNTIFS('RAID Log'!B10:B500,"Dependency",'RAID Log'!H10:H500,"In Progress"),0)</f>
        <v>0</v>
      </c>
      <c r="E9" s="50">
        <f>IFERROR(COUNTIFS('RAID Log'!B10:B500,"Dependency",'RAID Log'!H10:H500,"Closed"),0)</f>
        <v>0</v>
      </c>
      <c r="F9" s="49">
        <f>IFERROR(COUNTIFS('RAID Log'!B10:B500,"Dependency",'RAID Log'!H10:H500,"Escalated"),0)</f>
        <v>0</v>
      </c>
      <c r="G9" s="50">
        <f>IFERROR(COUNTIFS('RAID Log'!B10:B500,"Dependency",'RAID Log'!D10:D500,"High",'RAID Log'!H10:H500,"&lt;&gt;Closed"),0)</f>
        <v>2</v>
      </c>
    </row>
    <row r="10" spans="1:7" ht="18" customHeight="1" x14ac:dyDescent="0.2">
      <c r="A10" s="54" t="s">
        <v>55</v>
      </c>
      <c r="B10" s="49">
        <f>IFERROR(COUNTIF('RAID Log'!B10:B500,"Decision"),0)</f>
        <v>2</v>
      </c>
      <c r="C10" s="50">
        <f>IFERROR(COUNTIFS('RAID Log'!B10:B500,"Decision",'RAID Log'!H10:H500,"Open"),0)</f>
        <v>0</v>
      </c>
      <c r="D10" s="49">
        <f>IFERROR(COUNTIFS('RAID Log'!B10:B500,"Decision",'RAID Log'!H10:H500,"In Progress"),0)</f>
        <v>0</v>
      </c>
      <c r="E10" s="50">
        <f>IFERROR(COUNTIFS('RAID Log'!B10:B500,"Decision",'RAID Log'!H10:H500,"Closed"),0)</f>
        <v>2</v>
      </c>
      <c r="F10" s="49">
        <f>IFERROR(COUNTIFS('RAID Log'!B10:B500,"Decision",'RAID Log'!H10:H500,"Escalated"),0)</f>
        <v>0</v>
      </c>
      <c r="G10" s="50">
        <f>IFERROR(COUNTIFS('RAID Log'!B10:B500,"Decision",'RAID Log'!D10:D500,"High",'RAID Log'!H10:H500,"&lt;&gt;Closed"),0)</f>
        <v>0</v>
      </c>
    </row>
    <row r="11" spans="1:7" ht="18" customHeight="1" x14ac:dyDescent="0.2">
      <c r="A11" s="55" t="s">
        <v>104</v>
      </c>
      <c r="B11" s="56">
        <f>IFERROR(COUNTA('RAID Log'!A10:A500)-COUNTBLANK('RAID Log'!A10:A500),0)</f>
        <v>-443</v>
      </c>
      <c r="C11" s="56">
        <f>IFERROR(COUNTIF('RAID Log'!H10:H500,"Open"),0)</f>
        <v>10</v>
      </c>
      <c r="D11" s="56">
        <f>IFERROR(COUNTIF('RAID Log'!H10:H500,"In Progress"),0)</f>
        <v>1</v>
      </c>
      <c r="E11" s="56">
        <f>IFERROR(COUNTIF('RAID Log'!H10:H500,"Closed"),0)</f>
        <v>3</v>
      </c>
      <c r="F11" s="56">
        <f>IFERROR(COUNTIF('RAID Log'!H10:H500,"Escalated"),0)</f>
        <v>0</v>
      </c>
      <c r="G11" s="56">
        <f>IFERROR(COUNTIFS('RAID Log'!D10:D500,"High",'RAID Log'!H10:H500,"&lt;&gt;Closed"),0)</f>
        <v>6</v>
      </c>
    </row>
    <row r="13" spans="1:7" ht="7.5" customHeight="1" x14ac:dyDescent="0.2"/>
    <row r="14" spans="1:7" ht="18" customHeight="1" x14ac:dyDescent="0.2">
      <c r="A14" s="3" t="s">
        <v>105</v>
      </c>
      <c r="B14" s="3"/>
      <c r="C14" s="3"/>
      <c r="D14" s="3"/>
      <c r="E14" s="3"/>
      <c r="F14" s="3"/>
      <c r="G14" s="3"/>
    </row>
    <row r="15" spans="1:7" ht="27.75" customHeight="1" x14ac:dyDescent="0.2">
      <c r="A15" s="48" t="s">
        <v>24</v>
      </c>
      <c r="B15" s="2" t="s">
        <v>106</v>
      </c>
      <c r="C15" s="2"/>
      <c r="D15" s="2"/>
      <c r="E15" s="2"/>
      <c r="F15" s="2"/>
      <c r="G15" s="2"/>
    </row>
    <row r="16" spans="1:7" ht="27.75" customHeight="1" x14ac:dyDescent="0.2">
      <c r="A16" s="51" t="s">
        <v>34</v>
      </c>
      <c r="B16" s="1" t="s">
        <v>107</v>
      </c>
      <c r="C16" s="1"/>
      <c r="D16" s="1"/>
      <c r="E16" s="1"/>
      <c r="F16" s="1"/>
      <c r="G16" s="1"/>
    </row>
    <row r="17" spans="1:7" ht="27.75" customHeight="1" x14ac:dyDescent="0.2">
      <c r="A17" s="52" t="s">
        <v>64</v>
      </c>
      <c r="B17" s="2" t="s">
        <v>108</v>
      </c>
      <c r="C17" s="2"/>
      <c r="D17" s="2"/>
      <c r="E17" s="2"/>
      <c r="F17" s="2"/>
      <c r="G17" s="2"/>
    </row>
    <row r="18" spans="1:7" ht="27.75" customHeight="1" x14ac:dyDescent="0.2">
      <c r="A18" s="53" t="s">
        <v>44</v>
      </c>
      <c r="B18" s="1" t="s">
        <v>109</v>
      </c>
      <c r="C18" s="1"/>
      <c r="D18" s="1"/>
      <c r="E18" s="1"/>
      <c r="F18" s="1"/>
      <c r="G18" s="1"/>
    </row>
    <row r="19" spans="1:7" ht="27.75" customHeight="1" x14ac:dyDescent="0.2">
      <c r="A19" s="54" t="s">
        <v>55</v>
      </c>
      <c r="B19" s="2" t="s">
        <v>110</v>
      </c>
      <c r="C19" s="2"/>
      <c r="D19" s="2"/>
      <c r="E19" s="2"/>
      <c r="F19" s="2"/>
      <c r="G19" s="2"/>
    </row>
  </sheetData>
  <mergeCells count="8">
    <mergeCell ref="B17:G17"/>
    <mergeCell ref="B18:G18"/>
    <mergeCell ref="B19:G19"/>
    <mergeCell ref="A2:G2"/>
    <mergeCell ref="A3:G3"/>
    <mergeCell ref="A14:G14"/>
    <mergeCell ref="B15:G15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RAID Log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Lilit Melikyan</cp:lastModifiedBy>
  <cp:revision>0</cp:revision>
  <dcterms:created xsi:type="dcterms:W3CDTF">2026-03-04T10:38:53Z</dcterms:created>
  <dcterms:modified xsi:type="dcterms:W3CDTF">2026-03-04T10:46:32Z</dcterms:modified>
  <dc:language>en-US</dc:language>
</cp:coreProperties>
</file>